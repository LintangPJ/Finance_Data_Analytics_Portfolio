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ekerjaan\Portofolio - Finance\30 DAYS Finance Data Analyst\Week_02\"/>
    </mc:Choice>
  </mc:AlternateContent>
  <xr:revisionPtr revIDLastSave="0" documentId="13_ncr:1_{4EB686D2-BF81-4C6D-AC1F-1182E1C18368}" xr6:coauthVersionLast="47" xr6:coauthVersionMax="47" xr10:uidLastSave="{00000000-0000-0000-0000-000000000000}"/>
  <bookViews>
    <workbookView xWindow="-108" yWindow="-108" windowWidth="23256" windowHeight="13176" activeTab="1" xr2:uid="{24634FAA-82D5-4CCC-B054-FC91CC2C9F31}"/>
  </bookViews>
  <sheets>
    <sheet name="assumptions" sheetId="1" r:id="rId1"/>
    <sheet name="monthly_pl" sheetId="2" r:id="rId2"/>
    <sheet name="prior_year" sheetId="3" r:id="rId3"/>
    <sheet name="variance" sheetId="4" r:id="rId4"/>
  </sheets>
  <definedNames>
    <definedName name="base_rev">assumptions!$B$18</definedName>
    <definedName name="cogs_pct">assumptions!$B$20</definedName>
    <definedName name="depreciation">assumptions!$B$25</definedName>
    <definedName name="mktg_pct">assumptions!$B$24</definedName>
    <definedName name="payroll">assumptions!$B$21</definedName>
    <definedName name="payroll_growth">assumptions!$B$22</definedName>
    <definedName name="py_ebit">assumptions!$B$28</definedName>
    <definedName name="py_rev">assumptions!$B$27</definedName>
    <definedName name="rent">assumptions!$B$23</definedName>
    <definedName name="rev_growth">assumptions!$B$19</definedName>
    <definedName name="tax_rate">assumptions!$B$26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B5" i="4"/>
  <c r="C5" i="4"/>
  <c r="B6" i="4"/>
  <c r="C6" i="4"/>
  <c r="C7" i="4"/>
  <c r="B8" i="4"/>
  <c r="D8" i="4" s="1"/>
  <c r="E8" i="4" s="1"/>
  <c r="F8" i="4" s="1"/>
  <c r="C8" i="4"/>
  <c r="C9" i="4"/>
  <c r="C10" i="4"/>
  <c r="C11" i="4"/>
  <c r="C12" i="4"/>
  <c r="C2" i="4"/>
  <c r="E6" i="2"/>
  <c r="F6" i="2" s="1"/>
  <c r="N9" i="2"/>
  <c r="C9" i="2"/>
  <c r="D9" i="2"/>
  <c r="E9" i="2"/>
  <c r="F9" i="2"/>
  <c r="G9" i="2"/>
  <c r="H9" i="2"/>
  <c r="I9" i="2"/>
  <c r="J9" i="2"/>
  <c r="K9" i="2"/>
  <c r="L9" i="2"/>
  <c r="M9" i="2"/>
  <c r="B9" i="2"/>
  <c r="N7" i="2"/>
  <c r="C7" i="2"/>
  <c r="D7" i="2"/>
  <c r="E7" i="2"/>
  <c r="F7" i="2"/>
  <c r="G7" i="2"/>
  <c r="H7" i="2"/>
  <c r="I7" i="2"/>
  <c r="J7" i="2"/>
  <c r="K7" i="2"/>
  <c r="L7" i="2"/>
  <c r="M7" i="2"/>
  <c r="B7" i="2"/>
  <c r="D6" i="2"/>
  <c r="C6" i="2"/>
  <c r="B6" i="2"/>
  <c r="B2" i="2"/>
  <c r="B3" i="2" l="1"/>
  <c r="B4" i="2" s="1"/>
  <c r="B8" i="2"/>
  <c r="B10" i="2" s="1"/>
  <c r="C2" i="2"/>
  <c r="D6" i="4"/>
  <c r="E6" i="4" s="1"/>
  <c r="F6" i="4" s="1"/>
  <c r="D5" i="4"/>
  <c r="E5" i="4" s="1"/>
  <c r="F5" i="4" s="1"/>
  <c r="G6" i="2"/>
  <c r="H6" i="2" s="1"/>
  <c r="I6" i="2" s="1"/>
  <c r="J6" i="2" s="1"/>
  <c r="K6" i="2" s="1"/>
  <c r="L6" i="2" s="1"/>
  <c r="M6" i="2" s="1"/>
  <c r="N6" i="2"/>
  <c r="B12" i="2" l="1"/>
  <c r="B16" i="2"/>
  <c r="B13" i="2"/>
  <c r="B14" i="2" s="1"/>
  <c r="D2" i="2"/>
  <c r="C3" i="2"/>
  <c r="C4" i="2" s="1"/>
  <c r="C8" i="2"/>
  <c r="C10" i="2" s="1"/>
  <c r="C12" i="2" l="1"/>
  <c r="E2" i="2"/>
  <c r="D8" i="2"/>
  <c r="D3" i="2"/>
  <c r="D4" i="2" s="1"/>
  <c r="D10" i="2" l="1"/>
  <c r="D12" i="2" s="1"/>
  <c r="F2" i="2"/>
  <c r="E8" i="2"/>
  <c r="E10" i="2" s="1"/>
  <c r="E3" i="2"/>
  <c r="C16" i="2"/>
  <c r="C13" i="2"/>
  <c r="C14" i="2" s="1"/>
  <c r="D16" i="2" l="1"/>
  <c r="D13" i="2"/>
  <c r="E4" i="2"/>
  <c r="G2" i="2"/>
  <c r="F3" i="2"/>
  <c r="F8" i="2"/>
  <c r="F10" i="2" s="1"/>
  <c r="F4" i="2"/>
  <c r="F12" i="2" l="1"/>
  <c r="F13" i="2" s="1"/>
  <c r="F14" i="2" s="1"/>
  <c r="F16" i="2"/>
  <c r="E12" i="2"/>
  <c r="H2" i="2"/>
  <c r="G8" i="2"/>
  <c r="G10" i="2" s="1"/>
  <c r="G3" i="2"/>
  <c r="G4" i="2" s="1"/>
  <c r="D14" i="2"/>
  <c r="G12" i="2" l="1"/>
  <c r="I2" i="2"/>
  <c r="H8" i="2"/>
  <c r="H10" i="2" s="1"/>
  <c r="H3" i="2"/>
  <c r="H4" i="2" s="1"/>
  <c r="H12" i="2" s="1"/>
  <c r="E16" i="2"/>
  <c r="E13" i="2"/>
  <c r="E14" i="2"/>
  <c r="H16" i="2" l="1"/>
  <c r="H13" i="2"/>
  <c r="H14" i="2" s="1"/>
  <c r="J2" i="2"/>
  <c r="I8" i="2"/>
  <c r="I10" i="2" s="1"/>
  <c r="I3" i="2"/>
  <c r="I4" i="2" s="1"/>
  <c r="G13" i="2"/>
  <c r="G14" i="2" s="1"/>
  <c r="G16" i="2"/>
  <c r="I12" i="2" l="1"/>
  <c r="K2" i="2"/>
  <c r="J3" i="2"/>
  <c r="J4" i="2" s="1"/>
  <c r="J8" i="2"/>
  <c r="J10" i="2" s="1"/>
  <c r="J12" i="2" l="1"/>
  <c r="J13" i="2" s="1"/>
  <c r="J14" i="2" s="1"/>
  <c r="L2" i="2"/>
  <c r="K8" i="2"/>
  <c r="K10" i="2" s="1"/>
  <c r="K3" i="2"/>
  <c r="K4" i="2" s="1"/>
  <c r="I13" i="2"/>
  <c r="I14" i="2" s="1"/>
  <c r="I16" i="2"/>
  <c r="J16" i="2" l="1"/>
  <c r="K12" i="2"/>
  <c r="M2" i="2"/>
  <c r="L8" i="2"/>
  <c r="L10" i="2" s="1"/>
  <c r="L3" i="2"/>
  <c r="L4" i="2" s="1"/>
  <c r="N2" i="2"/>
  <c r="B2" i="4" s="1"/>
  <c r="D2" i="4" s="1"/>
  <c r="E2" i="4" s="1"/>
  <c r="F2" i="4" s="1"/>
  <c r="K16" i="2"/>
  <c r="K13" i="2"/>
  <c r="K14" i="2" s="1"/>
  <c r="L12" i="2" l="1"/>
  <c r="L16" i="2" s="1"/>
  <c r="M8" i="2"/>
  <c r="M3" i="2"/>
  <c r="L13" i="2" l="1"/>
  <c r="L14" i="2" s="1"/>
  <c r="M10" i="2"/>
  <c r="N10" i="2" s="1"/>
  <c r="B9" i="4" s="1"/>
  <c r="D9" i="4" s="1"/>
  <c r="E9" i="4" s="1"/>
  <c r="F9" i="4" s="1"/>
  <c r="N8" i="2"/>
  <c r="B7" i="4" s="1"/>
  <c r="D7" i="4" s="1"/>
  <c r="E7" i="4" s="1"/>
  <c r="F7" i="4" s="1"/>
  <c r="M4" i="2"/>
  <c r="N3" i="2"/>
  <c r="B3" i="4" s="1"/>
  <c r="D3" i="4" s="1"/>
  <c r="E3" i="4" s="1"/>
  <c r="F3" i="4" s="1"/>
  <c r="M12" i="2" l="1"/>
  <c r="N4" i="2"/>
  <c r="B4" i="4" s="1"/>
  <c r="D4" i="4" s="1"/>
  <c r="E4" i="4" s="1"/>
  <c r="F4" i="4" s="1"/>
  <c r="M13" i="2" l="1"/>
  <c r="M16" i="2"/>
  <c r="N16" i="2" s="1"/>
  <c r="N12" i="2"/>
  <c r="B10" i="4" s="1"/>
  <c r="D10" i="4" s="1"/>
  <c r="E10" i="4" s="1"/>
  <c r="F10" i="4" s="1"/>
  <c r="M14" i="2" l="1"/>
  <c r="N14" i="2" s="1"/>
  <c r="B12" i="4" s="1"/>
  <c r="D12" i="4" s="1"/>
  <c r="E12" i="4" s="1"/>
  <c r="F12" i="4" s="1"/>
  <c r="N13" i="2"/>
  <c r="B11" i="4" s="1"/>
  <c r="D11" i="4" s="1"/>
  <c r="E11" i="4" s="1"/>
  <c r="F11" i="4" s="1"/>
</calcChain>
</file>

<file path=xl/sharedStrings.xml><?xml version="1.0" encoding="utf-8"?>
<sst xmlns="http://schemas.openxmlformats.org/spreadsheetml/2006/main" count="83" uniqueCount="57">
  <si>
    <t>=========================================</t>
  </si>
  <si>
    <t>FY2025 Budget Model</t>
  </si>
  <si>
    <t>Author:  Lintang Permata Jati</t>
  </si>
  <si>
    <t>Built:   Day 14 of 30-Day Finance Analyst</t>
  </si>
  <si>
    <t>Version: v1.0</t>
  </si>
  <si>
    <t>Last updated: 21 April 2026</t>
  </si>
  <si>
    <t>Assumptions:</t>
  </si>
  <si>
    <t>- Revenue grows 2% MoM from an 80,000 Jan base</t>
  </si>
  <si>
    <t>- COGS fixed at 38% of revenue</t>
  </si>
  <si>
    <t>- Payroll grows 0.5% MoM</t>
  </si>
  <si>
    <t>- Tax rate 28% applied to positive EBIT only</t>
  </si>
  <si>
    <t>Company: Zona LPJ</t>
  </si>
  <si>
    <t>- All other costs fixed</t>
  </si>
  <si>
    <t>LABEL</t>
  </si>
  <si>
    <t>VALUE</t>
  </si>
  <si>
    <t>Base monthly revenue (Jan)</t>
  </si>
  <si>
    <t>Monthly revenue growth rate</t>
  </si>
  <si>
    <t>COGS % of revenue</t>
  </si>
  <si>
    <t>Gross payroll (monthly)</t>
  </si>
  <si>
    <t>Payroll growth (monthly)</t>
  </si>
  <si>
    <t>Rent (fixed monthly)</t>
  </si>
  <si>
    <t>Marketing % of revenue</t>
  </si>
  <si>
    <t>Depreciation (monthly)</t>
  </si>
  <si>
    <t>Tax rate</t>
  </si>
  <si>
    <t>Prior year total revenue</t>
  </si>
  <si>
    <t>Prior year total EBIT</t>
  </si>
  <si>
    <t>Jan</t>
  </si>
  <si>
    <t>Feb</t>
  </si>
  <si>
    <t>Mar</t>
  </si>
  <si>
    <t>Apr</t>
  </si>
  <si>
    <t>Jun</t>
  </si>
  <si>
    <t>Jul</t>
  </si>
  <si>
    <t>Sep</t>
  </si>
  <si>
    <t>Nov</t>
  </si>
  <si>
    <t>Full Year</t>
  </si>
  <si>
    <t>Revenue</t>
  </si>
  <si>
    <t>COGS</t>
  </si>
  <si>
    <t>Gross Profit</t>
  </si>
  <si>
    <t>Payroll</t>
  </si>
  <si>
    <t>Rent</t>
  </si>
  <si>
    <t>Marketing</t>
  </si>
  <si>
    <t>Depreciation</t>
  </si>
  <si>
    <t>Total OpEx</t>
  </si>
  <si>
    <t>EBIT</t>
  </si>
  <si>
    <t>Tax</t>
  </si>
  <si>
    <t>Net Income</t>
  </si>
  <si>
    <t>FY2025 Budget</t>
  </si>
  <si>
    <t>FY2024 Actual</t>
  </si>
  <si>
    <t>$ Variance</t>
  </si>
  <si>
    <t>% Variance</t>
  </si>
  <si>
    <t>Flag</t>
  </si>
  <si>
    <t>CHECK: EBIT = GP + OpEx</t>
  </si>
  <si>
    <t>Line Item</t>
  </si>
  <si>
    <t>May</t>
  </si>
  <si>
    <t>Oct</t>
  </si>
  <si>
    <t>Aug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</si>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</sst>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$-409]* #,##0_ ;_-[$$-409]* \-#,##0\ ;_-[$$-409]* &quot;-&quot;_ ;_-@_ 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4"/>
      <name val="Times New Roman"/>
      <family val="1"/>
    </font>
    <font>
      <sz val="8"/>
      <name val="Calibri"/>
      <family val="2"/>
      <charset val="1"/>
      <scheme val="minor"/>
    </font>
    <font>
      <sz val="12"/>
      <color theme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3" fillId="0" borderId="0" xfId="0" applyFont="1" applyAlignment="1">
      <alignment horizontal="center"/>
    </xf>
    <xf numFmtId="9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-[$$-409]* #,##0_ ;_-[$$-409]* \-#,##0\ ;_-[$$-409]* &quot;-&quot;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6FA5C-D79C-4F79-99AF-647F5A123475}" name="Table1" displayName="Table1" ref="A1:N16" totalsRowShown="0" headerRowDxfId="18" dataDxfId="17">
  <autoFilter ref="A1:N16" xr:uid="{7B66FA5C-D79C-4F79-99AF-647F5A123475}"/>
  <tableColumns count="14">
    <tableColumn id="1" xr3:uid="{EABDE81C-2699-4DDA-8042-62B441ACBADA}" name="Line Item" dataDxfId="16"/>
    <tableColumn id="2" xr3:uid="{C8ED0847-D9DB-4A3F-AA6C-866FBD626524}" name="Jan" dataDxfId="15"/>
    <tableColumn id="3" xr3:uid="{C25241D9-D210-46E7-A1E8-57FFCA63EC6F}" name="Feb" dataDxfId="14"/>
    <tableColumn id="4" xr3:uid="{CF6405D3-E736-4DFD-BB5D-6ECBF9918C51}" name="Mar" dataDxfId="13"/>
    <tableColumn id="5" xr3:uid="{5DD2D8C5-464F-4BD8-A135-53AFF8CAEF90}" name="Apr" dataDxfId="12"/>
    <tableColumn id="6" xr3:uid="{9D038CCC-38EA-4C2C-BEF2-8F8DB3301A7B}" name="May" dataDxfId="11"/>
    <tableColumn id="7" xr3:uid="{45FC1302-4A3E-4932-8F8D-31809563B06C}" name="Jun" dataDxfId="10"/>
    <tableColumn id="8" xr3:uid="{0C5E5BCE-0567-4172-9547-7EBA8F477EAC}" name="Jul" dataDxfId="9"/>
    <tableColumn id="9" xr3:uid="{93F0870A-94A1-4824-9607-C19B341DFB1B}" name="Aug" dataDxfId="8"/>
    <tableColumn id="10" xr3:uid="{86E118AE-F879-4083-B831-6E7A4084DE8F}" name="Sep" dataDxfId="7"/>
    <tableColumn id="11" xr3:uid="{35A7B60A-4DC8-4B0B-931F-D7891679D4F6}" name="Oct" dataDxfId="6"/>
    <tableColumn id="12" xr3:uid="{C3FA2C9B-2F1E-4633-AF7A-18C3C39105E3}" name="Nov" dataDxfId="5"/>
    <tableColumn id="13" xr3:uid="{CBAA7392-2F99-400C-A46E-DE84C9E24F50}" name="Dec" dataDxfId="4"/>
    <tableColumn id="14" xr3:uid="{1BF7AF4D-4737-4ABC-B2F7-4FC1B0BF82DA}" name="Full Year" dataDxfId="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C75A26-2B8E-4F7A-8C39-B1EAC03C6CB4}" name="Table6" displayName="Table6" ref="A1:B14" totalsRowShown="0" dataDxfId="2">
  <autoFilter ref="A1:B14" xr:uid="{E3C75A26-2B8E-4F7A-8C39-B1EAC03C6CB4}"/>
  <tableColumns count="2">
    <tableColumn id="1" xr3:uid="{0D294F48-EC92-42B0-BDE2-FA4A2531832B}" name="Line Item" dataDxfId="1"/>
    <tableColumn id="2" xr3:uid="{9297A326-16E0-4069-B53A-65CA36C4DA70}" name="FY2024 Actual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4B6C-6192-4368-BA76-549129E83E0F}">
  <dimension ref="A1:B28"/>
  <sheetViews>
    <sheetView workbookViewId="0">
      <selection activeCell="E19" sqref="E19"/>
    </sheetView>
  </sheetViews>
  <sheetFormatPr defaultRowHeight="15.6" x14ac:dyDescent="0.3"/>
  <cols>
    <col min="1" max="1" width="28.88671875" style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11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0</v>
      </c>
    </row>
    <row r="9" spans="1:1" x14ac:dyDescent="0.3">
      <c r="A9" s="1" t="s">
        <v>6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2" spans="1:1" x14ac:dyDescent="0.3">
      <c r="A12" s="1" t="s">
        <v>9</v>
      </c>
    </row>
    <row r="13" spans="1:1" x14ac:dyDescent="0.3">
      <c r="A13" s="2" t="s">
        <v>12</v>
      </c>
    </row>
    <row r="14" spans="1:1" x14ac:dyDescent="0.3">
      <c r="A14" s="1" t="s">
        <v>10</v>
      </c>
    </row>
    <row r="15" spans="1:1" x14ac:dyDescent="0.3">
      <c r="A15" s="1" t="s">
        <v>0</v>
      </c>
    </row>
    <row r="17" spans="1:2" x14ac:dyDescent="0.3">
      <c r="A17" s="4" t="s">
        <v>13</v>
      </c>
      <c r="B17" s="4" t="s">
        <v>14</v>
      </c>
    </row>
    <row r="18" spans="1:2" x14ac:dyDescent="0.3">
      <c r="A18" s="1" t="s">
        <v>15</v>
      </c>
      <c r="B18" s="6">
        <v>80000</v>
      </c>
    </row>
    <row r="19" spans="1:2" x14ac:dyDescent="0.3">
      <c r="A19" s="1" t="s">
        <v>16</v>
      </c>
      <c r="B19" s="5">
        <v>0.02</v>
      </c>
    </row>
    <row r="20" spans="1:2" x14ac:dyDescent="0.3">
      <c r="A20" s="1" t="s">
        <v>17</v>
      </c>
      <c r="B20" s="5">
        <v>0.38</v>
      </c>
    </row>
    <row r="21" spans="1:2" x14ac:dyDescent="0.3">
      <c r="A21" s="1" t="s">
        <v>18</v>
      </c>
      <c r="B21" s="6">
        <v>25000</v>
      </c>
    </row>
    <row r="22" spans="1:2" x14ac:dyDescent="0.3">
      <c r="A22" s="1" t="s">
        <v>19</v>
      </c>
      <c r="B22" s="7">
        <v>5.0000000000000001E-3</v>
      </c>
    </row>
    <row r="23" spans="1:2" x14ac:dyDescent="0.3">
      <c r="A23" s="1" t="s">
        <v>20</v>
      </c>
      <c r="B23" s="6">
        <v>8000</v>
      </c>
    </row>
    <row r="24" spans="1:2" x14ac:dyDescent="0.3">
      <c r="A24" s="1" t="s">
        <v>21</v>
      </c>
      <c r="B24" s="5">
        <v>0.05</v>
      </c>
    </row>
    <row r="25" spans="1:2" x14ac:dyDescent="0.3">
      <c r="A25" s="1" t="s">
        <v>22</v>
      </c>
      <c r="B25" s="6">
        <v>3000</v>
      </c>
    </row>
    <row r="26" spans="1:2" x14ac:dyDescent="0.3">
      <c r="A26" s="1" t="s">
        <v>23</v>
      </c>
      <c r="B26" s="5">
        <v>0.28000000000000003</v>
      </c>
    </row>
    <row r="27" spans="1:2" x14ac:dyDescent="0.3">
      <c r="A27" s="1" t="s">
        <v>24</v>
      </c>
      <c r="B27" s="6">
        <v>900000</v>
      </c>
    </row>
    <row r="28" spans="1:2" x14ac:dyDescent="0.3">
      <c r="A28" s="1" t="s">
        <v>25</v>
      </c>
      <c r="B28" s="6">
        <v>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6EC3-81A5-4F90-BE50-57DE97A5207A}">
  <dimension ref="A1:N16"/>
  <sheetViews>
    <sheetView tabSelected="1" workbookViewId="0">
      <selection activeCell="J21" sqref="J21"/>
    </sheetView>
  </sheetViews>
  <sheetFormatPr defaultRowHeight="15.6" x14ac:dyDescent="0.3"/>
  <cols>
    <col min="1" max="1" width="28.88671875" style="1" bestFit="1" customWidth="1"/>
    <col min="2" max="13" width="10.6640625" style="1" bestFit="1" customWidth="1"/>
    <col min="14" max="14" width="12.33203125" style="1" bestFit="1" customWidth="1"/>
    <col min="15" max="16384" width="8.88671875" style="1"/>
  </cols>
  <sheetData>
    <row r="1" spans="1:14" x14ac:dyDescent="0.3">
      <c r="A1" s="1" t="s">
        <v>52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53</v>
      </c>
      <c r="G1" s="4" t="s">
        <v>30</v>
      </c>
      <c r="H1" s="4" t="s">
        <v>31</v>
      </c>
      <c r="I1" s="4" t="s">
        <v>55</v>
      </c>
      <c r="J1" s="4" t="s">
        <v>32</v>
      </c>
      <c r="K1" s="4" t="s">
        <v>54</v>
      </c>
      <c r="L1" s="4" t="s">
        <v>33</v>
      </c>
      <c r="M1" s="4" t="s">
        <v>56</v>
      </c>
      <c r="N1" s="4" t="s">
        <v>34</v>
      </c>
    </row>
    <row r="2" spans="1:14" x14ac:dyDescent="0.3">
      <c r="A2" s="3" t="s">
        <v>35</v>
      </c>
      <c r="B2" s="8">
        <f>base_rev</f>
        <v>80000</v>
      </c>
      <c r="C2" s="8">
        <f t="shared" ref="C2:M2" si="0">B2*(1+rev_growth)</f>
        <v>81600</v>
      </c>
      <c r="D2" s="8">
        <f t="shared" si="0"/>
        <v>83232</v>
      </c>
      <c r="E2" s="8">
        <f t="shared" si="0"/>
        <v>84896.639999999999</v>
      </c>
      <c r="F2" s="8">
        <f t="shared" si="0"/>
        <v>86594.572799999994</v>
      </c>
      <c r="G2" s="8">
        <f t="shared" si="0"/>
        <v>88326.464255999992</v>
      </c>
      <c r="H2" s="8">
        <f t="shared" si="0"/>
        <v>90092.993541119999</v>
      </c>
      <c r="I2" s="8">
        <f t="shared" si="0"/>
        <v>91894.8534119424</v>
      </c>
      <c r="J2" s="8">
        <f t="shared" si="0"/>
        <v>93732.750480181247</v>
      </c>
      <c r="K2" s="8">
        <f t="shared" si="0"/>
        <v>95607.405489784869</v>
      </c>
      <c r="L2" s="8">
        <f t="shared" si="0"/>
        <v>97519.553599580569</v>
      </c>
      <c r="M2" s="8">
        <f t="shared" si="0"/>
        <v>99469.944671572186</v>
      </c>
      <c r="N2" s="8">
        <f>SUM(B2:M2)</f>
        <v>1072967.178250181</v>
      </c>
    </row>
    <row r="3" spans="1:14" x14ac:dyDescent="0.3">
      <c r="A3" s="3" t="s">
        <v>36</v>
      </c>
      <c r="B3" s="8">
        <f t="shared" ref="B3:M3" si="1">-B2*cogs_pct</f>
        <v>-30400</v>
      </c>
      <c r="C3" s="8">
        <f t="shared" si="1"/>
        <v>-31008</v>
      </c>
      <c r="D3" s="8">
        <f t="shared" si="1"/>
        <v>-31628.16</v>
      </c>
      <c r="E3" s="8">
        <f t="shared" si="1"/>
        <v>-32260.7232</v>
      </c>
      <c r="F3" s="8">
        <f t="shared" si="1"/>
        <v>-32905.937663999997</v>
      </c>
      <c r="G3" s="8">
        <f t="shared" si="1"/>
        <v>-33564.05641728</v>
      </c>
      <c r="H3" s="8">
        <f t="shared" si="1"/>
        <v>-34235.337545625596</v>
      </c>
      <c r="I3" s="8">
        <f t="shared" si="1"/>
        <v>-34920.044296538115</v>
      </c>
      <c r="J3" s="8">
        <f t="shared" si="1"/>
        <v>-35618.445182468873</v>
      </c>
      <c r="K3" s="8">
        <f t="shared" si="1"/>
        <v>-36330.814086118247</v>
      </c>
      <c r="L3" s="8">
        <f t="shared" si="1"/>
        <v>-37057.430367840614</v>
      </c>
      <c r="M3" s="8">
        <f t="shared" si="1"/>
        <v>-37798.57897519743</v>
      </c>
      <c r="N3" s="8">
        <f>SUM(B3:M3)</f>
        <v>-407727.52773506893</v>
      </c>
    </row>
    <row r="4" spans="1:14" x14ac:dyDescent="0.3">
      <c r="A4" s="3" t="s">
        <v>37</v>
      </c>
      <c r="B4" s="8">
        <f>B2+B3</f>
        <v>49600</v>
      </c>
      <c r="C4" s="8">
        <f t="shared" ref="C4:M4" si="2">C2+C3</f>
        <v>50592</v>
      </c>
      <c r="D4" s="8">
        <f t="shared" si="2"/>
        <v>51603.839999999997</v>
      </c>
      <c r="E4" s="8">
        <f t="shared" si="2"/>
        <v>52635.916799999999</v>
      </c>
      <c r="F4" s="8">
        <f t="shared" si="2"/>
        <v>53688.635135999997</v>
      </c>
      <c r="G4" s="8">
        <f t="shared" si="2"/>
        <v>54762.407838719992</v>
      </c>
      <c r="H4" s="8">
        <f t="shared" si="2"/>
        <v>55857.655995494402</v>
      </c>
      <c r="I4" s="8">
        <f t="shared" si="2"/>
        <v>56974.809115404285</v>
      </c>
      <c r="J4" s="8">
        <f t="shared" si="2"/>
        <v>58114.305297712373</v>
      </c>
      <c r="K4" s="8">
        <f t="shared" si="2"/>
        <v>59276.591403666622</v>
      </c>
      <c r="L4" s="8">
        <f t="shared" si="2"/>
        <v>60462.123231739955</v>
      </c>
      <c r="M4" s="8">
        <f t="shared" si="2"/>
        <v>61671.365696374756</v>
      </c>
      <c r="N4" s="8">
        <f>SUM(B4:M4)</f>
        <v>665239.65051511244</v>
      </c>
    </row>
    <row r="5" spans="1:14" x14ac:dyDescent="0.3">
      <c r="A5" s="3"/>
    </row>
    <row r="6" spans="1:14" x14ac:dyDescent="0.3">
      <c r="A6" s="3" t="s">
        <v>38</v>
      </c>
      <c r="B6" s="8">
        <f>-payroll</f>
        <v>-25000</v>
      </c>
      <c r="C6" s="8">
        <f t="shared" ref="C6:M6" si="3">B6*(1+payroll_growth)</f>
        <v>-25124.999999999996</v>
      </c>
      <c r="D6" s="8">
        <f t="shared" si="3"/>
        <v>-25250.624999999993</v>
      </c>
      <c r="E6" s="8">
        <f t="shared" si="3"/>
        <v>-25376.878124999988</v>
      </c>
      <c r="F6" s="8">
        <f t="shared" si="3"/>
        <v>-25503.762515624985</v>
      </c>
      <c r="G6" s="8">
        <f t="shared" si="3"/>
        <v>-25631.281328203106</v>
      </c>
      <c r="H6" s="8">
        <f t="shared" si="3"/>
        <v>-25759.437734844119</v>
      </c>
      <c r="I6" s="8">
        <f t="shared" si="3"/>
        <v>-25888.234923518336</v>
      </c>
      <c r="J6" s="8">
        <f t="shared" si="3"/>
        <v>-26017.676098135926</v>
      </c>
      <c r="K6" s="8">
        <f t="shared" si="3"/>
        <v>-26147.764478626603</v>
      </c>
      <c r="L6" s="8">
        <f t="shared" si="3"/>
        <v>-26278.503301019733</v>
      </c>
      <c r="M6" s="8">
        <f t="shared" si="3"/>
        <v>-26409.89581752483</v>
      </c>
      <c r="N6" s="8">
        <f>SUM(B6:M6)</f>
        <v>-308389.05932249757</v>
      </c>
    </row>
    <row r="7" spans="1:14" x14ac:dyDescent="0.3">
      <c r="A7" s="3" t="s">
        <v>39</v>
      </c>
      <c r="B7" s="8">
        <f t="shared" ref="B7:M7" si="4">-rent</f>
        <v>-8000</v>
      </c>
      <c r="C7" s="8">
        <f t="shared" si="4"/>
        <v>-8000</v>
      </c>
      <c r="D7" s="8">
        <f t="shared" si="4"/>
        <v>-8000</v>
      </c>
      <c r="E7" s="8">
        <f t="shared" si="4"/>
        <v>-8000</v>
      </c>
      <c r="F7" s="8">
        <f t="shared" si="4"/>
        <v>-8000</v>
      </c>
      <c r="G7" s="8">
        <f t="shared" si="4"/>
        <v>-8000</v>
      </c>
      <c r="H7" s="8">
        <f t="shared" si="4"/>
        <v>-8000</v>
      </c>
      <c r="I7" s="8">
        <f t="shared" si="4"/>
        <v>-8000</v>
      </c>
      <c r="J7" s="8">
        <f t="shared" si="4"/>
        <v>-8000</v>
      </c>
      <c r="K7" s="8">
        <f t="shared" si="4"/>
        <v>-8000</v>
      </c>
      <c r="L7" s="8">
        <f t="shared" si="4"/>
        <v>-8000</v>
      </c>
      <c r="M7" s="8">
        <f t="shared" si="4"/>
        <v>-8000</v>
      </c>
      <c r="N7" s="8">
        <f>SUM(B7:M7)</f>
        <v>-96000</v>
      </c>
    </row>
    <row r="8" spans="1:14" x14ac:dyDescent="0.3">
      <c r="A8" s="3" t="s">
        <v>40</v>
      </c>
      <c r="B8" s="8">
        <f t="shared" ref="B8:M8" si="5">-B2*mktg_pct</f>
        <v>-4000</v>
      </c>
      <c r="C8" s="8">
        <f t="shared" si="5"/>
        <v>-4080</v>
      </c>
      <c r="D8" s="8">
        <f t="shared" si="5"/>
        <v>-4161.6000000000004</v>
      </c>
      <c r="E8" s="8">
        <f t="shared" si="5"/>
        <v>-4244.8320000000003</v>
      </c>
      <c r="F8" s="8">
        <f t="shared" si="5"/>
        <v>-4329.7286400000003</v>
      </c>
      <c r="G8" s="8">
        <f t="shared" si="5"/>
        <v>-4416.3232128</v>
      </c>
      <c r="H8" s="8">
        <f t="shared" si="5"/>
        <v>-4504.6496770559997</v>
      </c>
      <c r="I8" s="8">
        <f t="shared" si="5"/>
        <v>-4594.7426705971202</v>
      </c>
      <c r="J8" s="8">
        <f t="shared" si="5"/>
        <v>-4686.6375240090629</v>
      </c>
      <c r="K8" s="8">
        <f t="shared" si="5"/>
        <v>-4780.3702744892435</v>
      </c>
      <c r="L8" s="8">
        <f t="shared" si="5"/>
        <v>-4875.9776799790288</v>
      </c>
      <c r="M8" s="8">
        <f t="shared" si="5"/>
        <v>-4973.4972335786097</v>
      </c>
      <c r="N8" s="8">
        <f>SUM(B8:M8)</f>
        <v>-53648.358912509066</v>
      </c>
    </row>
    <row r="9" spans="1:14" x14ac:dyDescent="0.3">
      <c r="A9" s="3" t="s">
        <v>41</v>
      </c>
      <c r="B9" s="8">
        <f t="shared" ref="B9:M9" si="6">-depreciation</f>
        <v>-3000</v>
      </c>
      <c r="C9" s="8">
        <f t="shared" si="6"/>
        <v>-3000</v>
      </c>
      <c r="D9" s="8">
        <f t="shared" si="6"/>
        <v>-3000</v>
      </c>
      <c r="E9" s="8">
        <f t="shared" si="6"/>
        <v>-3000</v>
      </c>
      <c r="F9" s="8">
        <f t="shared" si="6"/>
        <v>-3000</v>
      </c>
      <c r="G9" s="8">
        <f t="shared" si="6"/>
        <v>-3000</v>
      </c>
      <c r="H9" s="8">
        <f t="shared" si="6"/>
        <v>-3000</v>
      </c>
      <c r="I9" s="8">
        <f t="shared" si="6"/>
        <v>-3000</v>
      </c>
      <c r="J9" s="8">
        <f t="shared" si="6"/>
        <v>-3000</v>
      </c>
      <c r="K9" s="8">
        <f t="shared" si="6"/>
        <v>-3000</v>
      </c>
      <c r="L9" s="8">
        <f t="shared" si="6"/>
        <v>-3000</v>
      </c>
      <c r="M9" s="8">
        <f t="shared" si="6"/>
        <v>-3000</v>
      </c>
      <c r="N9" s="8">
        <f>SUM(B9:M9)</f>
        <v>-36000</v>
      </c>
    </row>
    <row r="10" spans="1:14" x14ac:dyDescent="0.3">
      <c r="A10" s="3" t="s">
        <v>42</v>
      </c>
      <c r="B10" s="8">
        <f>SUM(B6:B9)</f>
        <v>-40000</v>
      </c>
      <c r="C10" s="8">
        <f t="shared" ref="C10:M10" si="7">SUM(C6:C9)</f>
        <v>-40205</v>
      </c>
      <c r="D10" s="8">
        <f t="shared" si="7"/>
        <v>-40412.224999999991</v>
      </c>
      <c r="E10" s="8">
        <f t="shared" si="7"/>
        <v>-40621.710124999991</v>
      </c>
      <c r="F10" s="8">
        <f t="shared" si="7"/>
        <v>-40833.491155624986</v>
      </c>
      <c r="G10" s="8">
        <f t="shared" si="7"/>
        <v>-41047.604541003107</v>
      </c>
      <c r="H10" s="8">
        <f t="shared" si="7"/>
        <v>-41264.087411900116</v>
      </c>
      <c r="I10" s="8">
        <f t="shared" si="7"/>
        <v>-41482.977594115458</v>
      </c>
      <c r="J10" s="8">
        <f t="shared" si="7"/>
        <v>-41704.313622144989</v>
      </c>
      <c r="K10" s="8">
        <f t="shared" si="7"/>
        <v>-41928.134753115846</v>
      </c>
      <c r="L10" s="8">
        <f t="shared" si="7"/>
        <v>-42154.480980998764</v>
      </c>
      <c r="M10" s="8">
        <f t="shared" si="7"/>
        <v>-42383.393051103434</v>
      </c>
      <c r="N10" s="8">
        <f>SUM(B10:M10)</f>
        <v>-494037.41823500674</v>
      </c>
    </row>
    <row r="11" spans="1:14" x14ac:dyDescent="0.3">
      <c r="A11" s="3"/>
    </row>
    <row r="12" spans="1:14" x14ac:dyDescent="0.3">
      <c r="A12" s="3" t="s">
        <v>43</v>
      </c>
      <c r="B12" s="8">
        <f>B4+B10</f>
        <v>9600</v>
      </c>
      <c r="C12" s="8">
        <f t="shared" ref="C12:M12" si="8">C4+C10</f>
        <v>10387</v>
      </c>
      <c r="D12" s="8">
        <f t="shared" si="8"/>
        <v>11191.615000000005</v>
      </c>
      <c r="E12" s="8">
        <f t="shared" si="8"/>
        <v>12014.206675000009</v>
      </c>
      <c r="F12" s="8">
        <f t="shared" si="8"/>
        <v>12855.143980375011</v>
      </c>
      <c r="G12" s="8">
        <f t="shared" si="8"/>
        <v>13714.803297716884</v>
      </c>
      <c r="H12" s="8">
        <f t="shared" si="8"/>
        <v>14593.568583594286</v>
      </c>
      <c r="I12" s="8">
        <f t="shared" si="8"/>
        <v>15491.831521288826</v>
      </c>
      <c r="J12" s="8">
        <f t="shared" si="8"/>
        <v>16409.991675567384</v>
      </c>
      <c r="K12" s="8">
        <f t="shared" si="8"/>
        <v>17348.456650550776</v>
      </c>
      <c r="L12" s="8">
        <f t="shared" si="8"/>
        <v>18307.642250741192</v>
      </c>
      <c r="M12" s="8">
        <f t="shared" si="8"/>
        <v>19287.972645271322</v>
      </c>
      <c r="N12" s="8">
        <f>SUM(B12:M12)</f>
        <v>171202.2322801057</v>
      </c>
    </row>
    <row r="13" spans="1:14" x14ac:dyDescent="0.3">
      <c r="A13" s="3" t="s">
        <v>44</v>
      </c>
      <c r="B13" s="8">
        <f t="shared" ref="B13:M13" si="9">-B12*tax_rate</f>
        <v>-2688.0000000000005</v>
      </c>
      <c r="C13" s="8">
        <f t="shared" si="9"/>
        <v>-2908.36</v>
      </c>
      <c r="D13" s="8">
        <f t="shared" si="9"/>
        <v>-3133.6522000000018</v>
      </c>
      <c r="E13" s="8">
        <f t="shared" si="9"/>
        <v>-3363.9778690000026</v>
      </c>
      <c r="F13" s="8">
        <f t="shared" si="9"/>
        <v>-3599.4403145050032</v>
      </c>
      <c r="G13" s="8">
        <f t="shared" si="9"/>
        <v>-3840.1449233607277</v>
      </c>
      <c r="H13" s="8">
        <f t="shared" si="9"/>
        <v>-4086.1992034064006</v>
      </c>
      <c r="I13" s="8">
        <f t="shared" si="9"/>
        <v>-4337.7128259608717</v>
      </c>
      <c r="J13" s="8">
        <f t="shared" si="9"/>
        <v>-4594.7976691588683</v>
      </c>
      <c r="K13" s="8">
        <f t="shared" si="9"/>
        <v>-4857.5678621542174</v>
      </c>
      <c r="L13" s="8">
        <f t="shared" si="9"/>
        <v>-5126.139830207534</v>
      </c>
      <c r="M13" s="8">
        <f t="shared" si="9"/>
        <v>-5400.6323406759711</v>
      </c>
      <c r="N13" s="8">
        <f>SUM(B13:M13)</f>
        <v>-47936.6250384296</v>
      </c>
    </row>
    <row r="14" spans="1:14" x14ac:dyDescent="0.3">
      <c r="A14" s="3" t="s">
        <v>45</v>
      </c>
      <c r="B14" s="8">
        <f>B12+B13</f>
        <v>6912</v>
      </c>
      <c r="C14" s="8">
        <f t="shared" ref="C14:M14" si="10">C12+C13</f>
        <v>7478.6399999999994</v>
      </c>
      <c r="D14" s="8">
        <f t="shared" si="10"/>
        <v>8057.962800000003</v>
      </c>
      <c r="E14" s="8">
        <f t="shared" si="10"/>
        <v>8650.2288060000064</v>
      </c>
      <c r="F14" s="8">
        <f t="shared" si="10"/>
        <v>9255.7036658700072</v>
      </c>
      <c r="G14" s="8">
        <f t="shared" si="10"/>
        <v>9874.6583743561569</v>
      </c>
      <c r="H14" s="8">
        <f t="shared" si="10"/>
        <v>10507.369380187885</v>
      </c>
      <c r="I14" s="8">
        <f t="shared" si="10"/>
        <v>11154.118695327954</v>
      </c>
      <c r="J14" s="8">
        <f t="shared" si="10"/>
        <v>11815.194006408516</v>
      </c>
      <c r="K14" s="8">
        <f t="shared" si="10"/>
        <v>12490.888788396558</v>
      </c>
      <c r="L14" s="8">
        <f t="shared" si="10"/>
        <v>13181.502420533658</v>
      </c>
      <c r="M14" s="8">
        <f t="shared" si="10"/>
        <v>13887.340304595351</v>
      </c>
      <c r="N14" s="8">
        <f>SUM(B14:M14)</f>
        <v>123265.60724167609</v>
      </c>
    </row>
    <row r="16" spans="1:14" x14ac:dyDescent="0.3">
      <c r="A16" s="3" t="s">
        <v>51</v>
      </c>
      <c r="B16" s="13" t="str">
        <f>IF(B12=B4+B10, "OK", "ERROR")</f>
        <v>OK</v>
      </c>
      <c r="C16" s="13" t="str">
        <f t="shared" ref="C16:M16" si="11">IF(C12=C4+C10, "OK", "ERROR")</f>
        <v>OK</v>
      </c>
      <c r="D16" s="13" t="str">
        <f t="shared" si="11"/>
        <v>OK</v>
      </c>
      <c r="E16" s="13" t="str">
        <f t="shared" si="11"/>
        <v>OK</v>
      </c>
      <c r="F16" s="13" t="str">
        <f t="shared" si="11"/>
        <v>OK</v>
      </c>
      <c r="G16" s="13" t="str">
        <f t="shared" si="11"/>
        <v>OK</v>
      </c>
      <c r="H16" s="13" t="str">
        <f t="shared" si="11"/>
        <v>OK</v>
      </c>
      <c r="I16" s="13" t="str">
        <f t="shared" si="11"/>
        <v>OK</v>
      </c>
      <c r="J16" s="13" t="str">
        <f t="shared" si="11"/>
        <v>OK</v>
      </c>
      <c r="K16" s="13" t="str">
        <f t="shared" si="11"/>
        <v>OK</v>
      </c>
      <c r="L16" s="13" t="str">
        <f t="shared" si="11"/>
        <v>OK</v>
      </c>
      <c r="M16" s="13" t="str">
        <f t="shared" si="11"/>
        <v>OK</v>
      </c>
      <c r="N16" s="13">
        <f>COUNTIF(B16:M16, "ERROR")</f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0B30-3F68-44C9-85B5-82F5A052EF5A}">
  <dimension ref="A1:B14"/>
  <sheetViews>
    <sheetView workbookViewId="0">
      <selection activeCell="D3" sqref="D3"/>
    </sheetView>
  </sheetViews>
  <sheetFormatPr defaultRowHeight="14.4" x14ac:dyDescent="0.3"/>
  <cols>
    <col min="1" max="1" width="13.109375" bestFit="1" customWidth="1"/>
    <col min="2" max="2" width="14.88671875" bestFit="1" customWidth="1"/>
  </cols>
  <sheetData>
    <row r="1" spans="1:2" x14ac:dyDescent="0.3">
      <c r="A1" t="s">
        <v>52</v>
      </c>
      <c r="B1" t="s">
        <v>47</v>
      </c>
    </row>
    <row r="2" spans="1:2" ht="15.6" x14ac:dyDescent="0.3">
      <c r="A2" s="3" t="s">
        <v>35</v>
      </c>
      <c r="B2" s="14">
        <v>900000</v>
      </c>
    </row>
    <row r="3" spans="1:2" ht="15.6" x14ac:dyDescent="0.3">
      <c r="A3" s="3" t="s">
        <v>36</v>
      </c>
      <c r="B3" s="14">
        <v>-342000</v>
      </c>
    </row>
    <row r="4" spans="1:2" ht="15.6" x14ac:dyDescent="0.3">
      <c r="A4" s="3" t="s">
        <v>37</v>
      </c>
      <c r="B4" s="14">
        <v>558000</v>
      </c>
    </row>
    <row r="5" spans="1:2" ht="15.6" x14ac:dyDescent="0.3">
      <c r="A5" s="3"/>
      <c r="B5" s="14"/>
    </row>
    <row r="6" spans="1:2" ht="15.6" x14ac:dyDescent="0.3">
      <c r="A6" s="3" t="s">
        <v>38</v>
      </c>
      <c r="B6" s="14">
        <v>-275000</v>
      </c>
    </row>
    <row r="7" spans="1:2" ht="15.6" x14ac:dyDescent="0.3">
      <c r="A7" s="3" t="s">
        <v>39</v>
      </c>
      <c r="B7" s="14">
        <v>-90000</v>
      </c>
    </row>
    <row r="8" spans="1:2" ht="15.6" x14ac:dyDescent="0.3">
      <c r="A8" s="3" t="s">
        <v>40</v>
      </c>
      <c r="B8" s="14">
        <v>-45000</v>
      </c>
    </row>
    <row r="9" spans="1:2" ht="15.6" x14ac:dyDescent="0.3">
      <c r="A9" s="3" t="s">
        <v>41</v>
      </c>
      <c r="B9" s="14">
        <v>-33000</v>
      </c>
    </row>
    <row r="10" spans="1:2" ht="15.6" x14ac:dyDescent="0.3">
      <c r="A10" s="3" t="s">
        <v>42</v>
      </c>
      <c r="B10" s="14">
        <v>-443000</v>
      </c>
    </row>
    <row r="11" spans="1:2" ht="15.6" x14ac:dyDescent="0.3">
      <c r="A11" s="3"/>
      <c r="B11" s="14"/>
    </row>
    <row r="12" spans="1:2" ht="15.6" x14ac:dyDescent="0.3">
      <c r="A12" s="3" t="s">
        <v>43</v>
      </c>
      <c r="B12" s="14">
        <v>115000</v>
      </c>
    </row>
    <row r="13" spans="1:2" ht="15.6" x14ac:dyDescent="0.3">
      <c r="A13" s="3" t="s">
        <v>44</v>
      </c>
      <c r="B13" s="14">
        <v>-32200</v>
      </c>
    </row>
    <row r="14" spans="1:2" ht="15.6" x14ac:dyDescent="0.3">
      <c r="A14" s="3" t="s">
        <v>45</v>
      </c>
      <c r="B14" s="14">
        <v>82800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517C-8323-4361-AF59-191DDCA1F300}">
  <dimension ref="A1:F12"/>
  <sheetViews>
    <sheetView workbookViewId="0">
      <selection activeCell="C17" sqref="C17"/>
    </sheetView>
  </sheetViews>
  <sheetFormatPr defaultRowHeight="15.6" x14ac:dyDescent="0.3"/>
  <cols>
    <col min="1" max="1" width="13.109375" style="1" bestFit="1" customWidth="1"/>
    <col min="2" max="2" width="15" style="1" bestFit="1" customWidth="1"/>
    <col min="3" max="3" width="17.44140625" style="1" customWidth="1"/>
    <col min="4" max="4" width="13.77734375" style="1" customWidth="1"/>
    <col min="5" max="5" width="13.21875" style="1" customWidth="1"/>
    <col min="6" max="6" width="12.21875" style="1" customWidth="1"/>
    <col min="7" max="16384" width="8.88671875" style="1"/>
  </cols>
  <sheetData>
    <row r="1" spans="1:6" x14ac:dyDescent="0.3"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</row>
    <row r="2" spans="1:6" x14ac:dyDescent="0.3">
      <c r="A2" s="3" t="s">
        <v>35</v>
      </c>
      <c r="B2" s="10">
        <f>monthly_pl!N2</f>
        <v>1072967.178250181</v>
      </c>
      <c r="C2" s="10">
        <f>prior_year!B2</f>
        <v>900000</v>
      </c>
      <c r="D2" s="11">
        <f>B2-C2</f>
        <v>172967.17825018102</v>
      </c>
      <c r="E2" s="12">
        <f>IFERROR(D2/ABS(C2), 0)</f>
        <v>0.19218575361131224</v>
      </c>
      <c r="F2" s="13" t="str">
        <f>IF(ABS(E2)&gt;0.5, "Critical", IF(ABS(E2)&gt;0.1, "Significant", "Normal"))</f>
        <v>Significant</v>
      </c>
    </row>
    <row r="3" spans="1:6" x14ac:dyDescent="0.3">
      <c r="A3" s="3" t="s">
        <v>36</v>
      </c>
      <c r="B3" s="10">
        <f>monthly_pl!N3</f>
        <v>-407727.52773506893</v>
      </c>
      <c r="C3" s="10">
        <f>prior_year!B3</f>
        <v>-342000</v>
      </c>
      <c r="D3" s="11">
        <f t="shared" ref="D3:D12" si="0">B3-C3</f>
        <v>-65727.527735068928</v>
      </c>
      <c r="E3" s="12">
        <f t="shared" ref="E3:E12" si="1">IFERROR(D3/ABS(C3), 0)</f>
        <v>-0.19218575361131265</v>
      </c>
      <c r="F3" s="13" t="str">
        <f t="shared" ref="F3:F12" si="2">IF(ABS(E3)&gt;0.5, "Critical", IF(ABS(E3)&gt;0.1, "Significant", "Normal"))</f>
        <v>Significant</v>
      </c>
    </row>
    <row r="4" spans="1:6" x14ac:dyDescent="0.3">
      <c r="A4" s="3" t="s">
        <v>37</v>
      </c>
      <c r="B4" s="10">
        <f>monthly_pl!N4</f>
        <v>665239.65051511244</v>
      </c>
      <c r="C4" s="10">
        <f>prior_year!B4</f>
        <v>558000</v>
      </c>
      <c r="D4" s="11">
        <f t="shared" si="0"/>
        <v>107239.65051511244</v>
      </c>
      <c r="E4" s="12">
        <f t="shared" si="1"/>
        <v>0.19218575361131263</v>
      </c>
      <c r="F4" s="13" t="str">
        <f t="shared" si="2"/>
        <v>Significant</v>
      </c>
    </row>
    <row r="5" spans="1:6" x14ac:dyDescent="0.3">
      <c r="A5" s="3" t="s">
        <v>38</v>
      </c>
      <c r="B5" s="10">
        <f>monthly_pl!N6</f>
        <v>-308389.05932249757</v>
      </c>
      <c r="C5" s="10">
        <f>prior_year!B6</f>
        <v>-275000</v>
      </c>
      <c r="D5" s="11">
        <f t="shared" si="0"/>
        <v>-33389.059322497575</v>
      </c>
      <c r="E5" s="12">
        <f t="shared" si="1"/>
        <v>-0.12141476117271845</v>
      </c>
      <c r="F5" s="13" t="str">
        <f t="shared" si="2"/>
        <v>Significant</v>
      </c>
    </row>
    <row r="6" spans="1:6" x14ac:dyDescent="0.3">
      <c r="A6" s="3" t="s">
        <v>39</v>
      </c>
      <c r="B6" s="10">
        <f>monthly_pl!N7</f>
        <v>-96000</v>
      </c>
      <c r="C6" s="10">
        <f>prior_year!B7</f>
        <v>-90000</v>
      </c>
      <c r="D6" s="11">
        <f t="shared" si="0"/>
        <v>-6000</v>
      </c>
      <c r="E6" s="12">
        <f t="shared" si="1"/>
        <v>-6.6666666666666666E-2</v>
      </c>
      <c r="F6" s="13" t="str">
        <f t="shared" si="2"/>
        <v>Normal</v>
      </c>
    </row>
    <row r="7" spans="1:6" x14ac:dyDescent="0.3">
      <c r="A7" s="3" t="s">
        <v>40</v>
      </c>
      <c r="B7" s="10">
        <f>monthly_pl!N8</f>
        <v>-53648.358912509066</v>
      </c>
      <c r="C7" s="10">
        <f>prior_year!B8</f>
        <v>-45000</v>
      </c>
      <c r="D7" s="11">
        <f t="shared" si="0"/>
        <v>-8648.3589125090657</v>
      </c>
      <c r="E7" s="12">
        <f t="shared" si="1"/>
        <v>-0.19218575361131257</v>
      </c>
      <c r="F7" s="13" t="str">
        <f t="shared" si="2"/>
        <v>Significant</v>
      </c>
    </row>
    <row r="8" spans="1:6" x14ac:dyDescent="0.3">
      <c r="A8" s="3" t="s">
        <v>41</v>
      </c>
      <c r="B8" s="10">
        <f>monthly_pl!N9</f>
        <v>-36000</v>
      </c>
      <c r="C8" s="10">
        <f>prior_year!B9</f>
        <v>-33000</v>
      </c>
      <c r="D8" s="11">
        <f t="shared" si="0"/>
        <v>-3000</v>
      </c>
      <c r="E8" s="12">
        <f t="shared" si="1"/>
        <v>-9.0909090909090912E-2</v>
      </c>
      <c r="F8" s="13" t="str">
        <f t="shared" si="2"/>
        <v>Normal</v>
      </c>
    </row>
    <row r="9" spans="1:6" x14ac:dyDescent="0.3">
      <c r="A9" s="3" t="s">
        <v>42</v>
      </c>
      <c r="B9" s="10">
        <f>monthly_pl!N10</f>
        <v>-494037.41823500674</v>
      </c>
      <c r="C9" s="10">
        <f>prior_year!B10</f>
        <v>-443000</v>
      </c>
      <c r="D9" s="11">
        <f t="shared" si="0"/>
        <v>-51037.418235006742</v>
      </c>
      <c r="E9" s="12">
        <f t="shared" si="1"/>
        <v>-0.11520861904064728</v>
      </c>
      <c r="F9" s="13" t="str">
        <f t="shared" si="2"/>
        <v>Significant</v>
      </c>
    </row>
    <row r="10" spans="1:6" x14ac:dyDescent="0.3">
      <c r="A10" s="3" t="s">
        <v>43</v>
      </c>
      <c r="B10" s="10">
        <f>monthly_pl!N12</f>
        <v>171202.2322801057</v>
      </c>
      <c r="C10" s="10">
        <f>prior_year!B12</f>
        <v>115000</v>
      </c>
      <c r="D10" s="11">
        <f t="shared" si="0"/>
        <v>56202.232280105702</v>
      </c>
      <c r="E10" s="12">
        <f t="shared" si="1"/>
        <v>0.48871506330526698</v>
      </c>
      <c r="F10" s="13" t="str">
        <f t="shared" si="2"/>
        <v>Significant</v>
      </c>
    </row>
    <row r="11" spans="1:6" x14ac:dyDescent="0.3">
      <c r="A11" s="3" t="s">
        <v>44</v>
      </c>
      <c r="B11" s="10">
        <f>monthly_pl!N13</f>
        <v>-47936.6250384296</v>
      </c>
      <c r="C11" s="10">
        <f>prior_year!B13</f>
        <v>-32200</v>
      </c>
      <c r="D11" s="11">
        <f t="shared" si="0"/>
        <v>-15736.6250384296</v>
      </c>
      <c r="E11" s="12">
        <f t="shared" si="1"/>
        <v>-0.48871506330526709</v>
      </c>
      <c r="F11" s="13" t="str">
        <f t="shared" si="2"/>
        <v>Significant</v>
      </c>
    </row>
    <row r="12" spans="1:6" x14ac:dyDescent="0.3">
      <c r="A12" s="3" t="s">
        <v>45</v>
      </c>
      <c r="B12" s="10">
        <f>monthly_pl!N14</f>
        <v>123265.60724167609</v>
      </c>
      <c r="C12" s="10">
        <f>prior_year!B14</f>
        <v>82800</v>
      </c>
      <c r="D12" s="11">
        <f t="shared" si="0"/>
        <v>40465.607241676087</v>
      </c>
      <c r="E12" s="12">
        <f t="shared" si="1"/>
        <v>0.48871506330526676</v>
      </c>
      <c r="F12" s="13" t="str">
        <f t="shared" si="2"/>
        <v>Significant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assumptions</vt:lpstr>
      <vt:lpstr>monthly_pl</vt:lpstr>
      <vt:lpstr>prior_year</vt:lpstr>
      <vt:lpstr>variance</vt:lpstr>
      <vt:lpstr>base_rev</vt:lpstr>
      <vt:lpstr>cogs_pct</vt:lpstr>
      <vt:lpstr>depreciation</vt:lpstr>
      <vt:lpstr>mktg_pct</vt:lpstr>
      <vt:lpstr>payroll</vt:lpstr>
      <vt:lpstr>payroll_growth</vt:lpstr>
      <vt:lpstr>py_ebit</vt:lpstr>
      <vt:lpstr>py_rev</vt:lpstr>
      <vt:lpstr>rent</vt:lpstr>
      <vt:lpstr>rev_growth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Lintang Permata Jati</dc:creator>
  <cp:lastModifiedBy>Lintang Permata Jati</cp:lastModifiedBy>
  <dcterms:created xsi:type="dcterms:W3CDTF">2026-04-21T03:26:57Z</dcterms:created>
  <dcterms:modified xsi:type="dcterms:W3CDTF">2026-04-21T10:39:43Z</dcterms:modified>
</cp:coreProperties>
</file>